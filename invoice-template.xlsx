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<sst xmlns="http://schemas.openxmlformats.org/spreadsheetml/2006/main" count="40" uniqueCount="40">
  <si>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SWAMI CHURNA</t>
  </si>
  <si>
    <t xml:space="preserve">1, UMA VIHAR BUNGALOW-1, N/R, DGVCL, KADODARA-BARDOLI ROAD, SURAT.</t>
  </si>
  <si>
    <t xml:space="preserve">MO. NO. :- 9824766443</t>
  </si>
  <si>
    <t xml:space="preserve">TAX INVOICE  –  GST NO. 24ANNPP5126G1ZX</t>
  </si>
  <si>
    <t xml:space="preserve">For SWAMI CHURNA (PRO. OF BHUPATBHAI PADMANI) — fields shaded yellow are editable for each new customer</t>
  </si>
  <si>
    <t xml:space="preserve">BUYER DETAILS</t>
  </si>
  <si>
    <t xml:space="preserve">Buyer Name</t>
  </si>
  <si>
    <t xml:space="preserve">Invoice No.</t>
  </si>
  <si>
    <t xml:space="preserve">Buyer Address</t>
  </si>
  <si>
    <t xml:space="preserve">Date</t>
  </si>
  <si>
    <t xml:space="preserve">Buyer Mo. No.</t>
  </si>
  <si>
    <t xml:space="preserve">Challan No.</t>
  </si>
  <si>
    <t xml:space="preserve">PAN</t>
  </si>
  <si>
    <t xml:space="preserve">Challan Date</t>
  </si>
  <si>
    <t xml:space="preserve">State</t>
  </si>
  <si>
    <t xml:space="preserve">GUJARAT</t>
  </si>
  <si>
    <t xml:space="preserve">Transporter Name</t>
  </si>
  <si>
    <t xml:space="preserve">State Code</t>
  </si>
  <si>
    <t xml:space="preserve">LR Number</t>
  </si>
  <si>
    <t xml:space="preserve">SR NO.</t>
  </si>
  <si>
    <t xml:space="preserve">DESCRIPTION OF GOODS</t>
  </si>
  <si>
    <t xml:space="preserve">QTY</t>
  </si>
  <si>
    <t xml:space="preserve">UOM</t>
  </si>
  <si>
    <t xml:space="preserve">RATE</t>
  </si>
  <si>
    <t xml:space="preserve">AMOUNT</t>
  </si>
  <si>
    <t xml:space="preserve">HIRA BORE ARYUVEDIC (example — edit or clear)</t>
  </si>
  <si>
    <t xml:space="preserve">NOS</t>
  </si>
  <si>
    <t xml:space="preserve">TOTAL AMOUNT BEFORE TAX</t>
  </si>
  <si>
    <t xml:space="preserve">DISCOUNT</t>
  </si>
  <si>
    <t xml:space="preserve">TAXABLE AMOUNT</t>
  </si>
  <si>
    <t xml:space="preserve">SGST %</t>
  </si>
  <si>
    <t xml:space="preserve">CGST %</t>
  </si>
  <si>
    <t xml:space="preserve">IGST %</t>
  </si>
  <si>
    <t xml:space="preserve">TOTAL</t>
  </si>
  <si>
    <t xml:space="preserve">Amount In Words (type manually):</t>
  </si>
  <si>
    <t xml:space="preserve">BANK DETAILS</t>
  </si>
  <si>
    <t xml:space="preserve">Terms &amp; Conditions</t>
  </si>
  <si>
    <t xml:space="preserve">For SWAMI CHURNA
(PRO. OF BHUPATBHAI PADMANI)</t>
  </si>
  <si>
    <t xml:space="preserve">
Authorised Signatory</t>
  </si>
  <si>
    <t xml:space="preserve">Computer generated invoice, no signature required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</si>
</sst>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4" min="3" style="1" width="8"/>
    <col collapsed="false" customWidth="true" hidden="false" outlineLevel="0" max="5" min="5" style="1" width="12"/>
    <col collapsed="false" customWidth="true" hidden="false" outlineLevel="0" max="6" min="6" style="1" width="14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19.5" hidden="false" customHeight="true" outlineLevel="0" collapsed="false">
      <c r="A4" s="4" t="s">
        <v>3</v>
      </c>
      <c r="B4" s="4"/>
      <c r="C4" s="4"/>
      <c r="D4" s="4"/>
      <c r="E4" s="4"/>
      <c r="F4" s="4"/>
    </row>
    <row r="5" customFormat="false" ht="21.75" hidden="false" customHeight="true" outlineLevel="0" collapsed="false">
      <c r="A5" s="5" t="s">
        <v>4</v>
      </c>
      <c r="B5" s="5"/>
      <c r="C5" s="5"/>
      <c r="D5" s="5"/>
      <c r="E5" s="5"/>
      <c r="F5" s="5"/>
    </row>
    <row r="7" customFormat="false" ht="15" hidden="false" customHeight="true" outlineLevel="0" collapsed="false">
      <c r="A7" s="6" t="s">
        <v>5</v>
      </c>
      <c r="B7" s="6"/>
      <c r="C7" s="6"/>
      <c r="D7" s="6"/>
      <c r="E7" s="6"/>
      <c r="F7" s="6"/>
    </row>
    <row r="8" customFormat="false" ht="23.25" hidden="false" customHeight="true" outlineLevel="0" collapsed="false">
      <c r="A8" s="7" t="s">
        <v>6</v>
      </c>
      <c r="B8" s="8"/>
      <c r="C8" s="8"/>
      <c r="D8" s="7" t="s">
        <v>7</v>
      </c>
      <c r="E8" s="8"/>
      <c r="F8" s="8"/>
    </row>
    <row r="9" customFormat="false" ht="23.25" hidden="false" customHeight="true" outlineLevel="0" collapsed="false">
      <c r="A9" s="7" t="s">
        <v>8</v>
      </c>
      <c r="B9" s="8"/>
      <c r="C9" s="8"/>
      <c r="D9" s="7" t="s">
        <v>9</v>
      </c>
      <c r="E9" s="8"/>
      <c r="F9" s="8"/>
    </row>
    <row r="10" customFormat="false" ht="23.25" hidden="false" customHeight="true" outlineLevel="0" collapsed="false">
      <c r="A10" s="7" t="s">
        <v>10</v>
      </c>
      <c r="B10" s="8"/>
      <c r="C10" s="8"/>
      <c r="D10" s="7" t="s">
        <v>11</v>
      </c>
      <c r="E10" s="8"/>
      <c r="F10" s="8"/>
    </row>
    <row r="11" customFormat="false" ht="23.25" hidden="false" customHeight="true" outlineLevel="0" collapsed="false">
      <c r="A11" s="7" t="s">
        <v>12</v>
      </c>
      <c r="B11" s="8"/>
      <c r="C11" s="8"/>
      <c r="D11" s="7" t="s">
        <v>13</v>
      </c>
      <c r="E11" s="8"/>
      <c r="F11" s="8"/>
    </row>
    <row r="12" customFormat="false" ht="34.5" hidden="false" customHeight="true" outlineLevel="0" collapsed="false">
      <c r="A12" s="7" t="s">
        <v>14</v>
      </c>
      <c r="B12" s="8" t="s">
        <v>15</v>
      </c>
      <c r="C12" s="8"/>
      <c r="D12" s="7" t="s">
        <v>16</v>
      </c>
      <c r="E12" s="8"/>
      <c r="F12" s="8"/>
    </row>
    <row r="13" customFormat="false" ht="23.25" hidden="false" customHeight="true" outlineLevel="0" collapsed="false">
      <c r="A13" s="7" t="s">
        <v>17</v>
      </c>
      <c r="B13" s="8"/>
      <c r="C13" s="8"/>
      <c r="D13" s="7" t="s">
        <v>18</v>
      </c>
      <c r="E13" s="8"/>
      <c r="F13" s="8"/>
    </row>
    <row r="15" customFormat="false" ht="15" hidden="false" customHeight="true" outlineLevel="0" collapsed="false">
      <c r="A15" s="9" t="s">
        <v>19</v>
      </c>
      <c r="B15" s="9" t="s">
        <v>20</v>
      </c>
      <c r="C15" s="9" t="s">
        <v>21</v>
      </c>
      <c r="D15" s="9" t="s">
        <v>22</v>
      </c>
      <c r="E15" s="9" t="s">
        <v>23</v>
      </c>
      <c r="F15" s="9" t="s">
        <v>24</v>
      </c>
    </row>
    <row r="16" customFormat="false" ht="23.25" hidden="false" customHeight="true" outlineLevel="0" collapsed="false">
      <c r="A16" s="10" t="n">
        <v>1</v>
      </c>
      <c r="B16" s="11" t="s">
        <v>25</v>
      </c>
      <c r="C16" s="12" t="n">
        <v>1</v>
      </c>
      <c r="D16" s="12" t="s">
        <v>26</v>
      </c>
      <c r="E16" s="13" t="n">
        <v>4100</v>
      </c>
      <c r="F16" s="14" t="n">
        <f aca="false">IF(AND(C16&lt;&gt;"",E16&lt;&gt;""),C16*E16,"")</f>
        <v>4100</v>
      </c>
    </row>
    <row r="17" customFormat="false" ht="15" hidden="false" customHeight="true" outlineLevel="0" collapsed="false">
      <c r="A17" s="10" t="n">
        <v>2</v>
      </c>
      <c r="B17" s="11"/>
      <c r="C17" s="12"/>
      <c r="D17" s="12"/>
      <c r="E17" s="13"/>
      <c r="F17" s="14" t="str">
        <f aca="false">IF(AND(C17&lt;&gt;"",E17&lt;&gt;""),C17*E17,"")</f>
        <v/>
      </c>
    </row>
    <row r="18" customFormat="false" ht="15" hidden="false" customHeight="true" outlineLevel="0" collapsed="false">
      <c r="A18" s="10" t="n">
        <v>3</v>
      </c>
      <c r="B18" s="11"/>
      <c r="C18" s="12"/>
      <c r="D18" s="12"/>
      <c r="E18" s="13"/>
      <c r="F18" s="14" t="str">
        <f aca="false">IF(AND(C18&lt;&gt;"",E18&lt;&gt;""),C18*E18,"")</f>
        <v/>
      </c>
    </row>
    <row r="19" customFormat="false" ht="15" hidden="false" customHeight="true" outlineLevel="0" collapsed="false">
      <c r="A19" s="10" t="n">
        <v>4</v>
      </c>
      <c r="B19" s="11"/>
      <c r="C19" s="12"/>
      <c r="D19" s="12"/>
      <c r="E19" s="13"/>
      <c r="F19" s="14" t="str">
        <f aca="false">IF(AND(C19&lt;&gt;"",E19&lt;&gt;""),C19*E19,"")</f>
        <v/>
      </c>
    </row>
    <row r="20" customFormat="false" ht="15" hidden="false" customHeight="true" outlineLevel="0" collapsed="false">
      <c r="A20" s="10" t="n">
        <v>5</v>
      </c>
      <c r="B20" s="11"/>
      <c r="C20" s="12"/>
      <c r="D20" s="12"/>
      <c r="E20" s="13"/>
      <c r="F20" s="14" t="str">
        <f aca="false">IF(AND(C20&lt;&gt;"",E20&lt;&gt;""),C20*E20,"")</f>
        <v/>
      </c>
    </row>
    <row r="21" customFormat="false" ht="15" hidden="false" customHeight="true" outlineLevel="0" collapsed="false">
      <c r="A21" s="10" t="n">
        <v>6</v>
      </c>
      <c r="B21" s="11"/>
      <c r="C21" s="12"/>
      <c r="D21" s="12"/>
      <c r="E21" s="13"/>
      <c r="F21" s="14" t="str">
        <f aca="false">IF(AND(C21&lt;&gt;"",E21&lt;&gt;""),C21*E21,"")</f>
        <v/>
      </c>
    </row>
    <row r="22" customFormat="false" ht="15" hidden="false" customHeight="true" outlineLevel="0" collapsed="false">
      <c r="A22" s="10" t="n">
        <v>7</v>
      </c>
      <c r="B22" s="11"/>
      <c r="C22" s="12"/>
      <c r="D22" s="12"/>
      <c r="E22" s="13"/>
      <c r="F22" s="14" t="str">
        <f aca="false">IF(AND(C22&lt;&gt;"",E22&lt;&gt;""),C22*E22,"")</f>
        <v/>
      </c>
    </row>
    <row r="23" customFormat="false" ht="15" hidden="false" customHeight="true" outlineLevel="0" collapsed="false">
      <c r="A23" s="10" t="n">
        <v>8</v>
      </c>
      <c r="B23" s="11"/>
      <c r="C23" s="12"/>
      <c r="D23" s="12"/>
      <c r="E23" s="13"/>
      <c r="F23" s="14" t="str">
        <f aca="false">IF(AND(C23&lt;&gt;"",E23&lt;&gt;""),C23*E23,"")</f>
        <v/>
      </c>
    </row>
    <row r="24" customFormat="false" ht="15" hidden="false" customHeight="true" outlineLevel="0" collapsed="false">
      <c r="A24" s="10" t="n">
        <v>9</v>
      </c>
      <c r="B24" s="11"/>
      <c r="C24" s="12"/>
      <c r="D24" s="12"/>
      <c r="E24" s="13"/>
      <c r="F24" s="14" t="str">
        <f aca="false">IF(AND(C24&lt;&gt;"",E24&lt;&gt;""),C24*E24,"")</f>
        <v/>
      </c>
    </row>
    <row r="25" customFormat="false" ht="15" hidden="false" customHeight="true" outlineLevel="0" collapsed="false">
      <c r="A25" s="10" t="n">
        <v>10</v>
      </c>
      <c r="B25" s="11"/>
      <c r="C25" s="12"/>
      <c r="D25" s="12"/>
      <c r="E25" s="13"/>
      <c r="F25" s="14" t="str">
        <f aca="false">IF(AND(C25&lt;&gt;"",E25&lt;&gt;""),C25*E25,"")</f>
        <v/>
      </c>
    </row>
    <row r="26" customFormat="false" ht="15" hidden="false" customHeight="true" outlineLevel="0" collapsed="false">
      <c r="A26" s="10" t="n">
        <v>11</v>
      </c>
      <c r="B26" s="11"/>
      <c r="C26" s="12"/>
      <c r="D26" s="12"/>
      <c r="E26" s="13"/>
      <c r="F26" s="14" t="str">
        <f aca="false">IF(AND(C26&lt;&gt;"",E26&lt;&gt;""),C26*E26,"")</f>
        <v/>
      </c>
    </row>
    <row r="27" customFormat="false" ht="15" hidden="false" customHeight="true" outlineLevel="0" collapsed="false">
      <c r="A27" s="10" t="n">
        <v>12</v>
      </c>
      <c r="B27" s="11"/>
      <c r="C27" s="12"/>
      <c r="D27" s="12"/>
      <c r="E27" s="13"/>
      <c r="F27" s="14" t="str">
        <f aca="false">IF(AND(C27&lt;&gt;"",E27&lt;&gt;""),C27*E27,"")</f>
        <v/>
      </c>
    </row>
    <row r="28" customFormat="false" ht="15" hidden="false" customHeight="true" outlineLevel="0" collapsed="false">
      <c r="A28" s="10" t="n">
        <v>13</v>
      </c>
      <c r="B28" s="11"/>
      <c r="C28" s="12"/>
      <c r="D28" s="12"/>
      <c r="E28" s="13"/>
      <c r="F28" s="14" t="str">
        <f aca="false">IF(AND(C28&lt;&gt;"",E28&lt;&gt;""),C28*E28,"")</f>
        <v/>
      </c>
    </row>
    <row r="29" customFormat="false" ht="15" hidden="false" customHeight="true" outlineLevel="0" collapsed="false">
      <c r="A29" s="10" t="n">
        <v>14</v>
      </c>
      <c r="B29" s="11"/>
      <c r="C29" s="12"/>
      <c r="D29" s="12"/>
      <c r="E29" s="13"/>
      <c r="F29" s="14" t="str">
        <f aca="false">IF(AND(C29&lt;&gt;"",E29&lt;&gt;""),C29*E29,"")</f>
        <v/>
      </c>
    </row>
    <row r="30" customFormat="false" ht="15" hidden="false" customHeight="true" outlineLevel="0" collapsed="false">
      <c r="A30" s="10" t="n">
        <v>15</v>
      </c>
      <c r="B30" s="11"/>
      <c r="C30" s="12"/>
      <c r="D30" s="12"/>
      <c r="E30" s="13"/>
      <c r="F30" s="14" t="str">
        <f aca="false">IF(AND(C30&lt;&gt;"",E30&lt;&gt;""),C30*E30,"")</f>
        <v/>
      </c>
    </row>
    <row r="31" customFormat="false" ht="15" hidden="false" customHeight="true" outlineLevel="0" collapsed="false">
      <c r="A31" s="15" t="s">
        <v>27</v>
      </c>
      <c r="B31" s="15"/>
      <c r="C31" s="15"/>
      <c r="D31" s="15"/>
      <c r="E31" s="15"/>
      <c r="F31" s="16" t="n">
        <f aca="false">SUM(F16:F30)</f>
        <v>4100</v>
      </c>
    </row>
    <row r="32" customFormat="false" ht="15" hidden="false" customHeight="true" outlineLevel="0" collapsed="false">
      <c r="A32" s="17" t="s">
        <v>28</v>
      </c>
      <c r="B32" s="17"/>
      <c r="C32" s="17"/>
      <c r="D32" s="17"/>
      <c r="E32" s="17"/>
      <c r="F32" s="13" t="n">
        <v>0</v>
      </c>
    </row>
    <row r="33" customFormat="false" ht="15" hidden="false" customHeight="true" outlineLevel="0" collapsed="false">
      <c r="A33" s="17" t="s">
        <v>29</v>
      </c>
      <c r="B33" s="17"/>
      <c r="C33" s="17"/>
      <c r="D33" s="17"/>
      <c r="E33" s="17"/>
      <c r="F33" s="14" t="n">
        <f aca="false">F31-F32</f>
        <v>4100</v>
      </c>
    </row>
    <row r="34" customFormat="false" ht="15" hidden="false" customHeight="true" outlineLevel="0" collapsed="false">
      <c r="A34" s="17" t="s">
        <v>30</v>
      </c>
      <c r="B34" s="17"/>
      <c r="C34" s="17"/>
      <c r="D34" s="17"/>
      <c r="E34" s="18" t="n">
        <v>0.09</v>
      </c>
      <c r="F34" s="14" t="n">
        <f aca="false">F33*E34</f>
        <v>369</v>
      </c>
    </row>
    <row r="35" customFormat="false" ht="15" hidden="false" customHeight="true" outlineLevel="0" collapsed="false">
      <c r="A35" s="17" t="s">
        <v>31</v>
      </c>
      <c r="B35" s="17"/>
      <c r="C35" s="17"/>
      <c r="D35" s="17"/>
      <c r="E35" s="18" t="n">
        <v>0.09</v>
      </c>
      <c r="F35" s="14" t="n">
        <f aca="false">F33*E35</f>
        <v>369</v>
      </c>
    </row>
    <row r="36" customFormat="false" ht="15" hidden="false" customHeight="true" outlineLevel="0" collapsed="false">
      <c r="A36" s="17" t="s">
        <v>32</v>
      </c>
      <c r="B36" s="17"/>
      <c r="C36" s="17"/>
      <c r="D36" s="17"/>
      <c r="E36" s="18" t="n">
        <v>0</v>
      </c>
      <c r="F36" s="14" t="n">
        <f aca="false">F33*E36</f>
        <v>0</v>
      </c>
    </row>
    <row r="37" customFormat="false" ht="15" hidden="false" customHeight="true" outlineLevel="0" collapsed="false">
      <c r="A37" s="19" t="s">
        <v>33</v>
      </c>
      <c r="B37" s="19"/>
      <c r="C37" s="19"/>
      <c r="D37" s="19"/>
      <c r="E37" s="19"/>
      <c r="F37" s="20" t="n">
        <f aca="false">F33+F34+F35+F36</f>
        <v>4838</v>
      </c>
    </row>
    <row r="39" customFormat="false" ht="15" hidden="false" customHeight="true" outlineLevel="0" collapsed="false">
      <c r="A39" s="21" t="s">
        <v>34</v>
      </c>
      <c r="B39" s="21"/>
      <c r="C39" s="21"/>
      <c r="D39" s="21"/>
      <c r="E39" s="21"/>
      <c r="F39" s="21"/>
    </row>
    <row r="40" customFormat="false" ht="21.75" hidden="false" customHeight="true" outlineLevel="0" collapsed="false">
      <c r="A40" s="8"/>
      <c r="B40" s="8"/>
      <c r="C40" s="8"/>
      <c r="D40" s="8"/>
      <c r="E40" s="8"/>
      <c r="F40" s="8"/>
    </row>
    <row r="42" customFormat="false" ht="15" hidden="false" customHeight="true" outlineLevel="0" collapsed="false">
      <c r="A42" s="6" t="s">
        <v>35</v>
      </c>
      <c r="B42" s="6"/>
      <c r="C42" s="6"/>
      <c r="D42" s="6"/>
      <c r="E42" s="6"/>
      <c r="F42" s="6"/>
    </row>
    <row r="43" customFormat="false" ht="15" hidden="false" customHeight="true" outlineLevel="0" collapsed="false">
      <c r="A43" s="22"/>
      <c r="B43" s="22"/>
      <c r="C43" s="22"/>
      <c r="D43" s="22"/>
      <c r="E43" s="22"/>
      <c r="F43" s="22"/>
    </row>
    <row r="44" customFormat="false" ht="15" hidden="false" customHeight="true" outlineLevel="0" collapsed="false">
      <c r="A44" s="22"/>
      <c r="B44" s="22"/>
      <c r="C44" s="22"/>
      <c r="D44" s="22"/>
      <c r="E44" s="22"/>
      <c r="F44" s="22"/>
    </row>
    <row r="45" customFormat="false" ht="15" hidden="false" customHeight="true" outlineLevel="0" collapsed="false">
      <c r="A45" s="22"/>
      <c r="B45" s="22"/>
      <c r="C45" s="22"/>
      <c r="D45" s="22"/>
      <c r="E45" s="22"/>
      <c r="F45" s="22"/>
    </row>
    <row r="46" customFormat="false" ht="15" hidden="false" customHeight="true" outlineLevel="0" collapsed="false">
      <c r="A46" s="22"/>
      <c r="B46" s="22"/>
      <c r="C46" s="22"/>
      <c r="D46" s="22"/>
      <c r="E46" s="22"/>
      <c r="F46" s="22"/>
    </row>
    <row r="48" customFormat="false" ht="15" hidden="false" customHeight="true" outlineLevel="0" collapsed="false">
      <c r="A48" s="21" t="s">
        <v>36</v>
      </c>
      <c r="B48" s="21"/>
      <c r="C48" s="21"/>
      <c r="D48" s="21"/>
      <c r="E48" s="21"/>
      <c r="F48" s="21"/>
    </row>
    <row r="50" customFormat="false" ht="39.75" hidden="false" customHeight="true" outlineLevel="0" collapsed="false">
      <c r="A50" s="22" t="s">
        <v>37</v>
      </c>
      <c r="B50" s="22"/>
      <c r="C50" s="22"/>
      <c r="D50" s="23" t="s">
        <v>38</v>
      </c>
      <c r="E50" s="23"/>
      <c r="F50" s="23"/>
    </row>
    <row r="52" customFormat="false" ht="15" hidden="false" customHeight="true" outlineLevel="0" collapsed="false">
      <c r="A52" s="5" t="s">
        <v>39</v>
      </c>
      <c r="B52" s="5"/>
      <c r="C52" s="5"/>
      <c r="D52" s="5"/>
      <c r="E52" s="5"/>
      <c r="F52" s="5"/>
    </row>
  </sheetData>
  <mergeCells count="36">
    <mergeCell ref="A1:F1"/>
    <mergeCell ref="A2:F2"/>
    <mergeCell ref="A3:F3"/>
    <mergeCell ref="A4:F4"/>
    <mergeCell ref="A5:F5"/>
    <mergeCell ref="A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A31:E31"/>
    <mergeCell ref="A32:E32"/>
    <mergeCell ref="A33:E33"/>
    <mergeCell ref="A34:D34"/>
    <mergeCell ref="A35:D35"/>
    <mergeCell ref="A36:D36"/>
    <mergeCell ref="A37:E37"/>
    <mergeCell ref="A39:F39"/>
    <mergeCell ref="A40:F40"/>
    <mergeCell ref="A42:F42"/>
    <mergeCell ref="A43:F43"/>
    <mergeCell ref="A44:F44"/>
    <mergeCell ref="A45:F45"/>
    <mergeCell ref="A46:F46"/>
    <mergeCell ref="A48:F48"/>
    <mergeCell ref="A50:C50"/>
    <mergeCell ref="D50:F50"/>
    <mergeCell ref="A52:F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2026-07-31T17:44:38Z</dcterms:created>
  <dc:creator>openpyxl</dc:creator>
  <dc:description/>
  <dc:language>en-US</dc:language>
  <cp:lastModifiedBy/>
  <dcterms:modified xsi:type="dcterms:W3CDTF">2026-08-01T05:02:32Z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